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G:\My Drive\PowerDashboard\Core Management Dashboards\Bài toán thực tế\6. Bán buôn - Phân phối (Wholesale - Distribution)\Phân phối thiết bị cho các cơ sở y tế\Báo cáo KQKD\"/>
    </mc:Choice>
  </mc:AlternateContent>
  <xr:revisionPtr revIDLastSave="0" documentId="13_ncr:1_{41E56234-425C-49FB-8BED-3B0D1AC7D21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7" i="1" l="1"/>
  <c r="G67" i="1"/>
  <c r="F67" i="1"/>
  <c r="E67" i="1"/>
  <c r="D67" i="1"/>
  <c r="C67" i="1"/>
  <c r="A67" i="1"/>
</calcChain>
</file>

<file path=xl/sharedStrings.xml><?xml version="1.0" encoding="utf-8"?>
<sst xmlns="http://schemas.openxmlformats.org/spreadsheetml/2006/main" count="71" uniqueCount="71">
  <si>
    <t>stt</t>
  </si>
  <si>
    <t>Chỉ tiêu</t>
  </si>
  <si>
    <t>TỔNG</t>
  </si>
  <si>
    <t>I. DOANH THU ( TOTAL REVENUE)</t>
  </si>
  <si>
    <t>II. CÁC KHOẢN GIẢM TRỪ DOANH THU</t>
  </si>
  <si>
    <t>1. Chiết khấu  bán hàng</t>
  </si>
  <si>
    <t>2. Thuế xuất khẩu</t>
  </si>
  <si>
    <t>3. Hàng bán trả lại</t>
  </si>
  <si>
    <t>III. DOANH THU THUẦN (III=I-II)</t>
  </si>
  <si>
    <t>IV. GIÁ VỐN HÀNG BÁN ( COGS)</t>
  </si>
  <si>
    <t>V. LỢI NHUẬN GỘP (V=III-IV)</t>
  </si>
  <si>
    <t>VI. CHI PHÍ HOẠT ĐỘNG KINH DOANH</t>
  </si>
  <si>
    <t>1. CHI PHÍ HOẠT ĐỘNG BÁN HÀNG TRỰC TIẾP</t>
  </si>
  <si>
    <t>1.1. Chi phí sales</t>
  </si>
  <si>
    <t>a. Lương, thưởng, BHXH, phúc lợi</t>
  </si>
  <si>
    <t xml:space="preserve"> + Lương nhân viên sales</t>
  </si>
  <si>
    <t xml:space="preserve"> + Thưởng Doanh số</t>
  </si>
  <si>
    <t xml:space="preserve"> + CP BHXH, phúc lợi</t>
  </si>
  <si>
    <t>b. Chi phí công tác</t>
  </si>
  <si>
    <t>c. Đào tạo</t>
  </si>
  <si>
    <t>d. Chi phí kinh doanh nhóm hàng</t>
  </si>
  <si>
    <t xml:space="preserve">  - Chi phí tiếp khách</t>
  </si>
  <si>
    <t xml:space="preserve">  - Chi phí tài trợ 3F</t>
  </si>
  <si>
    <t xml:space="preserve">  - Chi phí tài trợ khác</t>
  </si>
  <si>
    <t xml:space="preserve">  - Chi phí kinh doanh khác</t>
  </si>
  <si>
    <t xml:space="preserve"> e. Chi phí bán hàng chung công ty</t>
  </si>
  <si>
    <t>1.2. Chi phí marketing</t>
  </si>
  <si>
    <t xml:space="preserve"> a. Chi phí hội nghị, hội thảo nhóm</t>
  </si>
  <si>
    <t xml:space="preserve"> b. Chi phí bảo hành- hàng mẫu</t>
  </si>
  <si>
    <t xml:space="preserve"> c. Chi phí Marketing GG chung</t>
  </si>
  <si>
    <t>1.3. Khấu hao TSCĐ, CCDC bộ phận kinh doanh</t>
  </si>
  <si>
    <t>2. CHI PHÍ QUẢN LÝ DOANH NGHIỆP</t>
  </si>
  <si>
    <t>2.1. Chi phí lương, phúc lợi nhóm hành chính</t>
  </si>
  <si>
    <t xml:space="preserve">  - Lương nhân viên hành chính</t>
  </si>
  <si>
    <t xml:space="preserve">  - Thưởng nhóm hành chính</t>
  </si>
  <si>
    <t xml:space="preserve">  - CP BHXH, phúc lợi</t>
  </si>
  <si>
    <t>2.2. Chi phí đào tạo, công tác nhóm hành chính</t>
  </si>
  <si>
    <t>2.3. Chi phí thuê VP</t>
  </si>
  <si>
    <t>2.4. Chi phí dịch vụ mua ngoài</t>
  </si>
  <si>
    <t xml:space="preserve">  - Chi phí điện, nước</t>
  </si>
  <si>
    <t xml:space="preserve">  - Chi phí điện thoại, Internet</t>
  </si>
  <si>
    <t xml:space="preserve">  - Chi phí văn phòng phẩm</t>
  </si>
  <si>
    <t xml:space="preserve">  - Chi phí linh tinh văn phòng</t>
  </si>
  <si>
    <t xml:space="preserve">  - Thuế, phí, lệ phí</t>
  </si>
  <si>
    <t xml:space="preserve">  - Sửa chữa VP</t>
  </si>
  <si>
    <t xml:space="preserve">  - Chi phí chuyển khoản  ngân hàng</t>
  </si>
  <si>
    <t xml:space="preserve">  - Chi phí dịch vụ mua ngoài khác</t>
  </si>
  <si>
    <t xml:space="preserve">  -  Chi phí xăng xe, cầu đường ô tô VP</t>
  </si>
  <si>
    <t>2.5 Chi phí khấu hao TSCĐ nhóm chung</t>
  </si>
  <si>
    <t>VII.LỢI NHUẬN THUẦN TỪ HĐ KINH DOANH (VII=V-VI)</t>
  </si>
  <si>
    <t>VIII.THU NHẬP HOẠT ĐỘNG TÀI CHÍNH</t>
  </si>
  <si>
    <t>IX. CHI PHÍ TÀI CHÍNH</t>
  </si>
  <si>
    <t xml:space="preserve"> a. CP do CLTG hối đối giảm</t>
  </si>
  <si>
    <t xml:space="preserve"> b. CP lãi vay</t>
  </si>
  <si>
    <t>X. THU NHẬP KHÁC (Dịch vụ khác)</t>
  </si>
  <si>
    <t>XI. CHI PHÍ KHÁC</t>
  </si>
  <si>
    <t>XII. LỢI NHUẬN KHÁC (XI=IX-X)</t>
  </si>
  <si>
    <t>XIII. TỔNG LỢI NHUẬN TRƯỚC THUẾ (13=7+8-9+12)</t>
  </si>
  <si>
    <t>XIV. Chi phí thuế TNDN  hiện hành</t>
  </si>
  <si>
    <t>XV . Chi phí thuế TNDN  hoãn lại</t>
  </si>
  <si>
    <t>XVI . LỢI NHUẬN SAU THUẾ TNDN (15=12-13-14)</t>
  </si>
  <si>
    <t>XVII.  LÃI CƠ BẢN TRÊN CỔ PHIẾU</t>
  </si>
  <si>
    <t>CÔNG TY DƯỢC PHẨM</t>
  </si>
  <si>
    <t>NHÃN HÀNG 01</t>
  </si>
  <si>
    <t>BÁO CÁO KẾT QUẢ KINH DOANH THEO NHÃN HÀNG</t>
  </si>
  <si>
    <t>NHÃN HÀNG 02</t>
  </si>
  <si>
    <t>NHÃN HÀNG 03</t>
  </si>
  <si>
    <t>NHÃN HÀNG 04</t>
  </si>
  <si>
    <t>NHÃN HÀNG 05</t>
  </si>
  <si>
    <t>Kỳ báo cáo:01/02/2025 - 28/02/2025</t>
  </si>
  <si>
    <t>Kỳ báo cáo: 01/02/2025 - 28/02/2025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</si>
</sst>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#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indexed="3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49" fontId="0" fillId="0" borderId="0" xfId="0" applyNumberFormat="1"/>
    <xf numFmtId="164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0" borderId="0" xfId="0" applyFont="1"/>
    <xf numFmtId="164" fontId="3" fillId="0" borderId="2" xfId="0" applyNumberFormat="1" applyFont="1" applyBorder="1"/>
    <xf numFmtId="49" fontId="3" fillId="0" borderId="2" xfId="0" applyNumberFormat="1" applyFont="1" applyBorder="1"/>
    <xf numFmtId="164" fontId="3" fillId="0" borderId="3" xfId="0" applyNumberFormat="1" applyFont="1" applyBorder="1"/>
    <xf numFmtId="49" fontId="3" fillId="0" borderId="3" xfId="0" applyNumberFormat="1" applyFont="1" applyBorder="1"/>
    <xf numFmtId="164" fontId="0" fillId="0" borderId="3" xfId="0" applyNumberFormat="1" applyBorder="1"/>
    <xf numFmtId="49" fontId="0" fillId="0" borderId="3" xfId="0" applyNumberFormat="1" applyBorder="1"/>
    <xf numFmtId="164" fontId="3" fillId="0" borderId="4" xfId="0" applyNumberFormat="1" applyFont="1" applyBorder="1"/>
    <xf numFmtId="49" fontId="3" fillId="0" borderId="4" xfId="0" applyNumberFormat="1" applyFont="1" applyBorder="1"/>
    <xf numFmtId="164" fontId="3" fillId="2" borderId="1" xfId="0" applyNumberFormat="1" applyFont="1" applyFill="1" applyBorder="1" applyAlignment="1">
      <alignment vertical="center"/>
    </xf>
    <xf numFmtId="49" fontId="3" fillId="2" borderId="5" xfId="0" applyNumberFormat="1" applyFont="1" applyFill="1" applyBorder="1" applyAlignment="1">
      <alignment vertical="center"/>
    </xf>
    <xf numFmtId="164" fontId="1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zoomScale="70" zoomScaleNormal="70" workbookViewId="0">
      <pane ySplit="7" topLeftCell="A8" activePane="bottomLeft" state="frozen"/>
      <selection pane="bottomLeft" activeCell="A7" sqref="A7"/>
    </sheetView>
  </sheetViews>
  <sheetFormatPr defaultRowHeight="14.4" x14ac:dyDescent="0.3"/>
  <cols>
    <col min="1" max="1" width="10" style="1" customWidth="1"/>
    <col min="2" max="2" width="49.6640625" style="2" bestFit="1" customWidth="1"/>
    <col min="3" max="3" width="18.33203125" style="1" bestFit="1" customWidth="1"/>
    <col min="4" max="4" width="22.88671875" style="1" bestFit="1" customWidth="1"/>
    <col min="5" max="5" width="19.21875" style="1" customWidth="1"/>
    <col min="6" max="6" width="21.6640625" style="1" customWidth="1"/>
    <col min="7" max="7" width="16.33203125" style="1" customWidth="1"/>
    <col min="8" max="8" width="14.77734375" style="1" customWidth="1"/>
  </cols>
  <sheetData>
    <row r="1" spans="1:8" x14ac:dyDescent="0.3">
      <c r="A1" s="16"/>
      <c r="B1" s="16"/>
      <c r="C1" s="16"/>
      <c r="D1" s="16"/>
      <c r="E1" s="16"/>
      <c r="F1" s="16"/>
      <c r="G1" s="16"/>
      <c r="H1" s="16"/>
    </row>
    <row r="2" spans="1:8" x14ac:dyDescent="0.3">
      <c r="A2" s="16" t="s">
        <v>62</v>
      </c>
      <c r="B2" s="16"/>
      <c r="C2" s="16"/>
      <c r="D2" s="16"/>
      <c r="E2" s="16"/>
      <c r="F2" s="16"/>
      <c r="G2" s="16"/>
      <c r="H2" s="16"/>
    </row>
    <row r="4" spans="1:8" ht="21" x14ac:dyDescent="0.3">
      <c r="A4" s="17" t="s">
        <v>64</v>
      </c>
      <c r="B4" s="17"/>
      <c r="C4" s="17"/>
      <c r="D4" s="17"/>
      <c r="E4" s="17"/>
      <c r="F4" s="17"/>
      <c r="G4" s="17"/>
      <c r="H4" s="17"/>
    </row>
    <row r="5" spans="1:8" x14ac:dyDescent="0.3">
      <c r="A5" s="18" t="s">
        <v>69</v>
      </c>
      <c r="B5" s="18"/>
      <c r="C5" s="18"/>
      <c r="D5" s="18"/>
      <c r="E5" s="18"/>
      <c r="F5" s="18"/>
      <c r="G5" s="18"/>
      <c r="H5" s="18"/>
    </row>
    <row r="6" spans="1:8" x14ac:dyDescent="0.3">
      <c r="A6" s="18" t="s">
        <v>70</v>
      </c>
      <c r="B6" s="18"/>
      <c r="C6" s="18"/>
      <c r="D6" s="18"/>
      <c r="E6" s="18"/>
      <c r="F6" s="18"/>
      <c r="G6" s="18"/>
      <c r="H6" s="18"/>
    </row>
    <row r="7" spans="1:8" ht="24.9" customHeight="1" x14ac:dyDescent="0.3">
      <c r="A7" s="3" t="s">
        <v>0</v>
      </c>
      <c r="B7" s="4" t="s">
        <v>1</v>
      </c>
      <c r="C7" s="3" t="s">
        <v>63</v>
      </c>
      <c r="D7" s="3" t="s">
        <v>65</v>
      </c>
      <c r="E7" s="3" t="s">
        <v>66</v>
      </c>
      <c r="F7" s="3" t="s">
        <v>67</v>
      </c>
      <c r="G7" s="3" t="s">
        <v>68</v>
      </c>
      <c r="H7" s="3" t="s">
        <v>2</v>
      </c>
    </row>
    <row r="8" spans="1:8" s="5" customFormat="1" x14ac:dyDescent="0.3">
      <c r="A8" s="6">
        <v>1</v>
      </c>
      <c r="B8" s="7" t="s">
        <v>3</v>
      </c>
      <c r="C8" s="6">
        <v>208700000</v>
      </c>
      <c r="D8" s="6">
        <v>132896800</v>
      </c>
      <c r="E8" s="6">
        <v>92554000</v>
      </c>
      <c r="F8" s="6">
        <v>2903824290</v>
      </c>
      <c r="G8" s="6">
        <v>1107031500</v>
      </c>
      <c r="H8" s="6">
        <v>4445006590</v>
      </c>
    </row>
    <row r="9" spans="1:8" s="5" customFormat="1" x14ac:dyDescent="0.3">
      <c r="A9" s="8">
        <v>2</v>
      </c>
      <c r="B9" s="9" t="s">
        <v>4</v>
      </c>
      <c r="C9" s="8">
        <v>55314000</v>
      </c>
      <c r="D9" s="8">
        <v>6612656</v>
      </c>
      <c r="E9" s="8">
        <v>15108650</v>
      </c>
      <c r="F9" s="8">
        <v>689453077</v>
      </c>
      <c r="G9" s="8">
        <v>197531295</v>
      </c>
      <c r="H9" s="8">
        <v>964019678</v>
      </c>
    </row>
    <row r="10" spans="1:8" x14ac:dyDescent="0.3">
      <c r="A10" s="10">
        <v>3</v>
      </c>
      <c r="B10" s="11" t="s">
        <v>5</v>
      </c>
      <c r="C10" s="10">
        <v>55314000</v>
      </c>
      <c r="D10" s="10">
        <v>6612656</v>
      </c>
      <c r="E10" s="10">
        <v>15108650</v>
      </c>
      <c r="F10" s="10">
        <v>689453077</v>
      </c>
      <c r="G10" s="10">
        <v>197531295</v>
      </c>
      <c r="H10" s="10">
        <v>964019678</v>
      </c>
    </row>
    <row r="11" spans="1:8" x14ac:dyDescent="0.3">
      <c r="A11" s="10">
        <v>4</v>
      </c>
      <c r="B11" s="11" t="s">
        <v>6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</row>
    <row r="12" spans="1:8" x14ac:dyDescent="0.3">
      <c r="A12" s="10">
        <v>5</v>
      </c>
      <c r="B12" s="11" t="s">
        <v>7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</row>
    <row r="13" spans="1:8" s="5" customFormat="1" x14ac:dyDescent="0.3">
      <c r="A13" s="8">
        <v>6</v>
      </c>
      <c r="B13" s="9" t="s">
        <v>8</v>
      </c>
      <c r="C13" s="8">
        <v>153386000</v>
      </c>
      <c r="D13" s="8">
        <v>126284144</v>
      </c>
      <c r="E13" s="8">
        <v>77445350</v>
      </c>
      <c r="F13" s="8">
        <v>2214371213</v>
      </c>
      <c r="G13" s="8">
        <v>909500205</v>
      </c>
      <c r="H13" s="8">
        <v>3480986912</v>
      </c>
    </row>
    <row r="14" spans="1:8" x14ac:dyDescent="0.3">
      <c r="A14" s="10">
        <v>7</v>
      </c>
      <c r="B14" s="11" t="s">
        <v>9</v>
      </c>
      <c r="C14" s="10">
        <v>85805896</v>
      </c>
      <c r="D14" s="10">
        <v>64550908</v>
      </c>
      <c r="E14" s="10">
        <v>37882315</v>
      </c>
      <c r="F14" s="10">
        <v>1114763322</v>
      </c>
      <c r="G14" s="10">
        <v>480133921</v>
      </c>
      <c r="H14" s="10">
        <v>1783136362</v>
      </c>
    </row>
    <row r="15" spans="1:8" s="5" customFormat="1" x14ac:dyDescent="0.3">
      <c r="A15" s="8">
        <v>8</v>
      </c>
      <c r="B15" s="9" t="s">
        <v>10</v>
      </c>
      <c r="C15" s="8">
        <v>67580104</v>
      </c>
      <c r="D15" s="8">
        <v>61733236</v>
      </c>
      <c r="E15" s="8">
        <v>39563035</v>
      </c>
      <c r="F15" s="8">
        <v>1099607891</v>
      </c>
      <c r="G15" s="8">
        <v>429366284</v>
      </c>
      <c r="H15" s="8">
        <v>1697850550</v>
      </c>
    </row>
    <row r="16" spans="1:8" s="5" customFormat="1" x14ac:dyDescent="0.3">
      <c r="A16" s="8">
        <v>9</v>
      </c>
      <c r="B16" s="9" t="s">
        <v>11</v>
      </c>
      <c r="C16" s="8">
        <v>163576138.5</v>
      </c>
      <c r="D16" s="8">
        <v>65231905.799999997</v>
      </c>
      <c r="E16" s="8">
        <v>172669284.5</v>
      </c>
      <c r="F16" s="8">
        <v>522234966</v>
      </c>
      <c r="G16" s="8">
        <v>168656532.19999999</v>
      </c>
      <c r="H16" s="8">
        <v>1092368827</v>
      </c>
    </row>
    <row r="17" spans="1:8" s="5" customFormat="1" x14ac:dyDescent="0.3">
      <c r="A17" s="8">
        <v>10</v>
      </c>
      <c r="B17" s="9" t="s">
        <v>12</v>
      </c>
      <c r="C17" s="8">
        <v>88899492</v>
      </c>
      <c r="D17" s="8">
        <v>25404361</v>
      </c>
      <c r="E17" s="8">
        <v>97992638</v>
      </c>
      <c r="F17" s="8">
        <v>273312811</v>
      </c>
      <c r="G17" s="8">
        <v>108915215</v>
      </c>
      <c r="H17" s="8">
        <v>594524517</v>
      </c>
    </row>
    <row r="18" spans="1:8" x14ac:dyDescent="0.3">
      <c r="A18" s="10">
        <v>11</v>
      </c>
      <c r="B18" s="11" t="s">
        <v>13</v>
      </c>
      <c r="C18" s="10">
        <v>88823867</v>
      </c>
      <c r="D18" s="10">
        <v>25404361</v>
      </c>
      <c r="E18" s="10">
        <v>96298961</v>
      </c>
      <c r="F18" s="10">
        <v>265258037</v>
      </c>
      <c r="G18" s="10">
        <v>81639319</v>
      </c>
      <c r="H18" s="10">
        <v>557424545</v>
      </c>
    </row>
    <row r="19" spans="1:8" x14ac:dyDescent="0.3">
      <c r="A19" s="10">
        <v>12</v>
      </c>
      <c r="B19" s="11" t="s">
        <v>14</v>
      </c>
      <c r="C19" s="10">
        <v>66757067</v>
      </c>
      <c r="D19" s="10">
        <v>22637832</v>
      </c>
      <c r="E19" s="10">
        <v>43324000</v>
      </c>
      <c r="F19" s="10">
        <v>180234311</v>
      </c>
      <c r="G19" s="10">
        <v>44409343</v>
      </c>
      <c r="H19" s="10">
        <v>357362553</v>
      </c>
    </row>
    <row r="20" spans="1:8" x14ac:dyDescent="0.3">
      <c r="A20" s="10">
        <v>13</v>
      </c>
      <c r="B20" s="11" t="s">
        <v>15</v>
      </c>
      <c r="C20" s="10">
        <v>53600000</v>
      </c>
      <c r="D20" s="10">
        <v>15000000</v>
      </c>
      <c r="E20" s="10">
        <v>37000000</v>
      </c>
      <c r="F20" s="10">
        <v>118350000</v>
      </c>
      <c r="G20" s="10">
        <v>29650000</v>
      </c>
      <c r="H20" s="10">
        <v>253600000</v>
      </c>
    </row>
    <row r="21" spans="1:8" x14ac:dyDescent="0.3">
      <c r="A21" s="10">
        <v>14</v>
      </c>
      <c r="B21" s="11" t="s">
        <v>16</v>
      </c>
      <c r="C21" s="10">
        <v>509067</v>
      </c>
      <c r="D21" s="10">
        <v>2535832</v>
      </c>
      <c r="E21" s="10">
        <v>0</v>
      </c>
      <c r="F21" s="10">
        <v>41690311</v>
      </c>
      <c r="G21" s="10">
        <v>11597343</v>
      </c>
      <c r="H21" s="10">
        <v>56332553</v>
      </c>
    </row>
    <row r="22" spans="1:8" x14ac:dyDescent="0.3">
      <c r="A22" s="10">
        <v>15</v>
      </c>
      <c r="B22" s="11" t="s">
        <v>17</v>
      </c>
      <c r="C22" s="10">
        <v>12648000</v>
      </c>
      <c r="D22" s="10">
        <v>5102000</v>
      </c>
      <c r="E22" s="10">
        <v>6324000</v>
      </c>
      <c r="F22" s="10">
        <v>20194000</v>
      </c>
      <c r="G22" s="10">
        <v>3162000</v>
      </c>
      <c r="H22" s="10">
        <v>47430000</v>
      </c>
    </row>
    <row r="23" spans="1:8" x14ac:dyDescent="0.3">
      <c r="A23" s="10">
        <v>16</v>
      </c>
      <c r="B23" s="11" t="s">
        <v>18</v>
      </c>
      <c r="C23" s="10">
        <v>800000</v>
      </c>
      <c r="D23" s="10">
        <v>0</v>
      </c>
      <c r="E23" s="10">
        <v>0</v>
      </c>
      <c r="F23" s="10">
        <v>2357000</v>
      </c>
      <c r="G23" s="10">
        <v>0</v>
      </c>
      <c r="H23" s="10">
        <v>3157000</v>
      </c>
    </row>
    <row r="24" spans="1:8" x14ac:dyDescent="0.3">
      <c r="A24" s="10">
        <v>17</v>
      </c>
      <c r="B24" s="11" t="s">
        <v>19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</row>
    <row r="25" spans="1:8" x14ac:dyDescent="0.3">
      <c r="A25" s="10">
        <v>18</v>
      </c>
      <c r="B25" s="11" t="s">
        <v>20</v>
      </c>
      <c r="C25" s="10">
        <v>21266800</v>
      </c>
      <c r="D25" s="10">
        <v>2766529</v>
      </c>
      <c r="E25" s="10">
        <v>52974961</v>
      </c>
      <c r="F25" s="10">
        <v>82666726</v>
      </c>
      <c r="G25" s="10">
        <v>37229976</v>
      </c>
      <c r="H25" s="10">
        <v>196904992</v>
      </c>
    </row>
    <row r="26" spans="1:8" x14ac:dyDescent="0.3">
      <c r="A26" s="10">
        <v>19</v>
      </c>
      <c r="B26" s="11" t="s">
        <v>21</v>
      </c>
      <c r="C26" s="10">
        <v>11947800</v>
      </c>
      <c r="D26" s="10">
        <v>0</v>
      </c>
      <c r="E26" s="10">
        <v>5317800</v>
      </c>
      <c r="F26" s="10">
        <v>20300700</v>
      </c>
      <c r="G26" s="10">
        <v>16048300</v>
      </c>
      <c r="H26" s="10">
        <v>53614600</v>
      </c>
    </row>
    <row r="27" spans="1:8" x14ac:dyDescent="0.3">
      <c r="A27" s="10">
        <v>20</v>
      </c>
      <c r="B27" s="11" t="s">
        <v>22</v>
      </c>
      <c r="C27" s="10">
        <v>0</v>
      </c>
      <c r="D27" s="10">
        <v>0</v>
      </c>
      <c r="E27" s="10">
        <v>0</v>
      </c>
      <c r="F27" s="10">
        <v>1100000</v>
      </c>
      <c r="G27" s="10">
        <v>0</v>
      </c>
      <c r="H27" s="10">
        <v>1100000</v>
      </c>
    </row>
    <row r="28" spans="1:8" x14ac:dyDescent="0.3">
      <c r="A28" s="10">
        <v>21</v>
      </c>
      <c r="B28" s="11" t="s">
        <v>23</v>
      </c>
      <c r="C28" s="10">
        <v>0</v>
      </c>
      <c r="D28" s="10">
        <v>0</v>
      </c>
      <c r="E28" s="10">
        <v>36400000</v>
      </c>
      <c r="F28" s="10">
        <v>20960000</v>
      </c>
      <c r="G28" s="10">
        <v>6148000</v>
      </c>
      <c r="H28" s="10">
        <v>63508000</v>
      </c>
    </row>
    <row r="29" spans="1:8" x14ac:dyDescent="0.3">
      <c r="A29" s="10">
        <v>22</v>
      </c>
      <c r="B29" s="11" t="s">
        <v>24</v>
      </c>
      <c r="C29" s="10">
        <v>9319000</v>
      </c>
      <c r="D29" s="10">
        <v>2766529</v>
      </c>
      <c r="E29" s="10">
        <v>11257161</v>
      </c>
      <c r="F29" s="10">
        <v>40306026</v>
      </c>
      <c r="G29" s="10">
        <v>15033676</v>
      </c>
      <c r="H29" s="10">
        <v>78682392</v>
      </c>
    </row>
    <row r="30" spans="1:8" x14ac:dyDescent="0.3">
      <c r="A30" s="10">
        <v>23</v>
      </c>
      <c r="B30" s="11" t="s">
        <v>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/>
    </row>
    <row r="31" spans="1:8" x14ac:dyDescent="0.3">
      <c r="A31" s="10">
        <v>24</v>
      </c>
      <c r="B31" s="11" t="s">
        <v>26</v>
      </c>
      <c r="C31" s="10">
        <v>0</v>
      </c>
      <c r="D31" s="10">
        <v>0</v>
      </c>
      <c r="E31" s="10">
        <v>299860</v>
      </c>
      <c r="F31" s="10">
        <v>0</v>
      </c>
      <c r="G31" s="10">
        <v>0</v>
      </c>
      <c r="H31" s="10">
        <v>299860</v>
      </c>
    </row>
    <row r="32" spans="1:8" x14ac:dyDescent="0.3">
      <c r="A32" s="10">
        <v>25</v>
      </c>
      <c r="B32" s="11" t="s">
        <v>27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</row>
    <row r="33" spans="1:8" x14ac:dyDescent="0.3">
      <c r="A33" s="10">
        <v>26</v>
      </c>
      <c r="B33" s="11" t="s">
        <v>28</v>
      </c>
      <c r="C33" s="10">
        <v>0</v>
      </c>
      <c r="D33" s="10">
        <v>0</v>
      </c>
      <c r="E33" s="10">
        <v>299860</v>
      </c>
      <c r="F33" s="10">
        <v>0</v>
      </c>
      <c r="G33" s="10">
        <v>0</v>
      </c>
      <c r="H33" s="10">
        <v>299860</v>
      </c>
    </row>
    <row r="34" spans="1:8" x14ac:dyDescent="0.3">
      <c r="A34" s="10">
        <v>27</v>
      </c>
      <c r="B34" s="11" t="s">
        <v>29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</row>
    <row r="35" spans="1:8" x14ac:dyDescent="0.3">
      <c r="A35" s="10">
        <v>28</v>
      </c>
      <c r="B35" s="11" t="s">
        <v>30</v>
      </c>
      <c r="C35" s="10">
        <v>75625</v>
      </c>
      <c r="D35" s="10">
        <v>0</v>
      </c>
      <c r="E35" s="10">
        <v>1393817</v>
      </c>
      <c r="F35" s="10">
        <v>8054774</v>
      </c>
      <c r="G35" s="10">
        <v>27275896</v>
      </c>
      <c r="H35" s="10">
        <v>36800112</v>
      </c>
    </row>
    <row r="36" spans="1:8" s="5" customFormat="1" x14ac:dyDescent="0.3">
      <c r="A36" s="8">
        <v>29</v>
      </c>
      <c r="B36" s="9" t="s">
        <v>31</v>
      </c>
      <c r="C36" s="8">
        <v>74676646.5</v>
      </c>
      <c r="D36" s="8">
        <v>39827544.799999997</v>
      </c>
      <c r="E36" s="8">
        <v>74676646.5</v>
      </c>
      <c r="F36" s="8">
        <v>248922155</v>
      </c>
      <c r="G36" s="8">
        <v>59741317.200000003</v>
      </c>
      <c r="H36" s="8">
        <v>497844310</v>
      </c>
    </row>
    <row r="37" spans="1:8" x14ac:dyDescent="0.3">
      <c r="A37" s="10">
        <v>30</v>
      </c>
      <c r="B37" s="11" t="s">
        <v>32</v>
      </c>
      <c r="C37" s="10">
        <v>52434585</v>
      </c>
      <c r="D37" s="10">
        <v>27965112</v>
      </c>
      <c r="E37" s="10">
        <v>52434585</v>
      </c>
      <c r="F37" s="10">
        <v>174781950</v>
      </c>
      <c r="G37" s="10">
        <v>41947668</v>
      </c>
      <c r="H37" s="10">
        <v>349563900</v>
      </c>
    </row>
    <row r="38" spans="1:8" x14ac:dyDescent="0.3">
      <c r="A38" s="10">
        <v>31</v>
      </c>
      <c r="B38" s="11" t="s">
        <v>33</v>
      </c>
      <c r="C38" s="10">
        <v>47206875</v>
      </c>
      <c r="D38" s="10">
        <v>25177000</v>
      </c>
      <c r="E38" s="10">
        <v>47206875</v>
      </c>
      <c r="F38" s="10">
        <v>157356250</v>
      </c>
      <c r="G38" s="10">
        <v>37765500</v>
      </c>
      <c r="H38" s="10">
        <v>314712500</v>
      </c>
    </row>
    <row r="39" spans="1:8" x14ac:dyDescent="0.3">
      <c r="A39" s="10">
        <v>32</v>
      </c>
      <c r="B39" s="11" t="s">
        <v>34</v>
      </c>
      <c r="C39" s="10">
        <v>523110</v>
      </c>
      <c r="D39" s="10">
        <v>278992</v>
      </c>
      <c r="E39" s="10">
        <v>523110</v>
      </c>
      <c r="F39" s="10">
        <v>1743700</v>
      </c>
      <c r="G39" s="10">
        <v>418488</v>
      </c>
      <c r="H39" s="10">
        <v>3487400</v>
      </c>
    </row>
    <row r="40" spans="1:8" x14ac:dyDescent="0.3">
      <c r="A40" s="10">
        <v>33</v>
      </c>
      <c r="B40" s="11" t="s">
        <v>35</v>
      </c>
      <c r="C40" s="10">
        <v>4704600</v>
      </c>
      <c r="D40" s="10">
        <v>2509120</v>
      </c>
      <c r="E40" s="10">
        <v>4704600</v>
      </c>
      <c r="F40" s="10">
        <v>15682000</v>
      </c>
      <c r="G40" s="10">
        <v>3763680</v>
      </c>
      <c r="H40" s="10">
        <v>31364000</v>
      </c>
    </row>
    <row r="41" spans="1:8" x14ac:dyDescent="0.3">
      <c r="A41" s="10">
        <v>34</v>
      </c>
      <c r="B41" s="11" t="s">
        <v>36</v>
      </c>
      <c r="C41" s="10">
        <v>579999.9</v>
      </c>
      <c r="D41" s="10">
        <v>309333.28000000003</v>
      </c>
      <c r="E41" s="10">
        <v>579999.9</v>
      </c>
      <c r="F41" s="10">
        <v>1933333</v>
      </c>
      <c r="G41" s="10">
        <v>463999.92</v>
      </c>
      <c r="H41" s="10">
        <v>3866666</v>
      </c>
    </row>
    <row r="42" spans="1:8" x14ac:dyDescent="0.3">
      <c r="A42" s="10">
        <v>35</v>
      </c>
      <c r="B42" s="11" t="s">
        <v>37</v>
      </c>
      <c r="C42" s="10">
        <v>9532110</v>
      </c>
      <c r="D42" s="10">
        <v>5083792</v>
      </c>
      <c r="E42" s="10">
        <v>9532110</v>
      </c>
      <c r="F42" s="10">
        <v>31773700</v>
      </c>
      <c r="G42" s="10">
        <v>7625688</v>
      </c>
      <c r="H42" s="10">
        <v>63547400</v>
      </c>
    </row>
    <row r="43" spans="1:8" x14ac:dyDescent="0.3">
      <c r="A43" s="10">
        <v>36</v>
      </c>
      <c r="B43" s="11" t="s">
        <v>38</v>
      </c>
      <c r="C43" s="10">
        <v>9502023.1500000004</v>
      </c>
      <c r="D43" s="10">
        <v>5067745.68</v>
      </c>
      <c r="E43" s="10">
        <v>9502023.1500000004</v>
      </c>
      <c r="F43" s="10">
        <v>31673410.5</v>
      </c>
      <c r="G43" s="10">
        <v>7601618.5199999996</v>
      </c>
      <c r="H43" s="10">
        <v>63346821</v>
      </c>
    </row>
    <row r="44" spans="1:8" x14ac:dyDescent="0.3">
      <c r="A44" s="10">
        <v>37</v>
      </c>
      <c r="B44" s="11" t="s">
        <v>39</v>
      </c>
      <c r="C44" s="10">
        <v>584844</v>
      </c>
      <c r="D44" s="10">
        <v>311916.79999999999</v>
      </c>
      <c r="E44" s="10">
        <v>584844</v>
      </c>
      <c r="F44" s="10">
        <v>1949480</v>
      </c>
      <c r="G44" s="10">
        <v>467875.2</v>
      </c>
      <c r="H44" s="10">
        <v>3898960</v>
      </c>
    </row>
    <row r="45" spans="1:8" x14ac:dyDescent="0.3">
      <c r="A45" s="10">
        <v>38</v>
      </c>
      <c r="B45" s="11" t="s">
        <v>40</v>
      </c>
      <c r="C45" s="10">
        <v>204637.95</v>
      </c>
      <c r="D45" s="10">
        <v>109140.24</v>
      </c>
      <c r="E45" s="10">
        <v>204637.95</v>
      </c>
      <c r="F45" s="10">
        <v>682126.5</v>
      </c>
      <c r="G45" s="10">
        <v>163710.35999999999</v>
      </c>
      <c r="H45" s="10">
        <v>1364253</v>
      </c>
    </row>
    <row r="46" spans="1:8" x14ac:dyDescent="0.3">
      <c r="A46" s="10">
        <v>39</v>
      </c>
      <c r="B46" s="11" t="s">
        <v>41</v>
      </c>
      <c r="C46" s="10">
        <v>777874.95</v>
      </c>
      <c r="D46" s="10">
        <v>414866.64</v>
      </c>
      <c r="E46" s="10">
        <v>777874.95</v>
      </c>
      <c r="F46" s="10">
        <v>2592916.5</v>
      </c>
      <c r="G46" s="10">
        <v>622299.96</v>
      </c>
      <c r="H46" s="10">
        <v>5185833</v>
      </c>
    </row>
    <row r="47" spans="1:8" x14ac:dyDescent="0.3">
      <c r="A47" s="10">
        <v>40</v>
      </c>
      <c r="B47" s="11" t="s">
        <v>42</v>
      </c>
      <c r="C47" s="10">
        <v>1404600</v>
      </c>
      <c r="D47" s="10">
        <v>749120</v>
      </c>
      <c r="E47" s="10">
        <v>1404600</v>
      </c>
      <c r="F47" s="10">
        <v>4682000</v>
      </c>
      <c r="G47" s="10">
        <v>1123680</v>
      </c>
      <c r="H47" s="10">
        <v>9364000</v>
      </c>
    </row>
    <row r="48" spans="1:8" x14ac:dyDescent="0.3">
      <c r="A48" s="10">
        <v>41</v>
      </c>
      <c r="B48" s="11" t="s">
        <v>43</v>
      </c>
      <c r="C48" s="10">
        <v>300000</v>
      </c>
      <c r="D48" s="10">
        <v>160000</v>
      </c>
      <c r="E48" s="10">
        <v>300000</v>
      </c>
      <c r="F48" s="10">
        <v>1000000</v>
      </c>
      <c r="G48" s="10">
        <v>240000</v>
      </c>
      <c r="H48" s="10">
        <v>2000000</v>
      </c>
    </row>
    <row r="49" spans="1:8" x14ac:dyDescent="0.3">
      <c r="A49" s="10">
        <v>42</v>
      </c>
      <c r="B49" s="11" t="s">
        <v>44</v>
      </c>
      <c r="C49" s="10">
        <v>1260207.6000000001</v>
      </c>
      <c r="D49" s="10">
        <v>672110.72</v>
      </c>
      <c r="E49" s="10">
        <v>1260207.6000000001</v>
      </c>
      <c r="F49" s="10">
        <v>4200692</v>
      </c>
      <c r="G49" s="10">
        <v>1008166.08</v>
      </c>
      <c r="H49" s="10">
        <v>8401384</v>
      </c>
    </row>
    <row r="50" spans="1:8" x14ac:dyDescent="0.3">
      <c r="A50" s="10">
        <v>43</v>
      </c>
      <c r="B50" s="11" t="s">
        <v>45</v>
      </c>
      <c r="C50" s="10">
        <v>149726.25</v>
      </c>
      <c r="D50" s="10">
        <v>79854</v>
      </c>
      <c r="E50" s="10">
        <v>149726.25</v>
      </c>
      <c r="F50" s="10">
        <v>499087.5</v>
      </c>
      <c r="G50" s="10">
        <v>119781</v>
      </c>
      <c r="H50" s="10">
        <v>998175</v>
      </c>
    </row>
    <row r="51" spans="1:8" x14ac:dyDescent="0.3">
      <c r="A51" s="10">
        <v>44</v>
      </c>
      <c r="B51" s="11" t="s">
        <v>46</v>
      </c>
      <c r="C51" s="10">
        <v>2625426.9</v>
      </c>
      <c r="D51" s="10">
        <v>1400227.68</v>
      </c>
      <c r="E51" s="10">
        <v>2625426.9</v>
      </c>
      <c r="F51" s="10">
        <v>8751423</v>
      </c>
      <c r="G51" s="10">
        <v>2100341.52</v>
      </c>
      <c r="H51" s="10">
        <v>17502846</v>
      </c>
    </row>
    <row r="52" spans="1:8" x14ac:dyDescent="0.3">
      <c r="A52" s="10">
        <v>45</v>
      </c>
      <c r="B52" s="11" t="s">
        <v>47</v>
      </c>
      <c r="C52" s="10">
        <v>2194705.5</v>
      </c>
      <c r="D52" s="10">
        <v>1170509.6000000001</v>
      </c>
      <c r="E52" s="10">
        <v>2194705.5</v>
      </c>
      <c r="F52" s="10">
        <v>7315685</v>
      </c>
      <c r="G52" s="10">
        <v>1755764.4</v>
      </c>
      <c r="H52" s="10">
        <v>14631370</v>
      </c>
    </row>
    <row r="53" spans="1:8" x14ac:dyDescent="0.3">
      <c r="A53" s="10">
        <v>46</v>
      </c>
      <c r="B53" s="11" t="s">
        <v>48</v>
      </c>
      <c r="C53" s="10">
        <v>2627928.4500000002</v>
      </c>
      <c r="D53" s="10">
        <v>1401561.84</v>
      </c>
      <c r="E53" s="10">
        <v>2627928.4500000002</v>
      </c>
      <c r="F53" s="10">
        <v>8759761.5</v>
      </c>
      <c r="G53" s="10">
        <v>2102342.7599999998</v>
      </c>
      <c r="H53" s="10">
        <v>17519523</v>
      </c>
    </row>
    <row r="54" spans="1:8" s="5" customFormat="1" x14ac:dyDescent="0.3">
      <c r="A54" s="8">
        <v>47</v>
      </c>
      <c r="B54" s="9" t="s">
        <v>49</v>
      </c>
      <c r="C54" s="8">
        <v>-95996034.5</v>
      </c>
      <c r="D54" s="8">
        <v>-3498669.8</v>
      </c>
      <c r="E54" s="8">
        <v>-133106249.5</v>
      </c>
      <c r="F54" s="8">
        <v>577372925</v>
      </c>
      <c r="G54" s="8">
        <v>260709751.80000001</v>
      </c>
      <c r="H54" s="8">
        <v>605481723</v>
      </c>
    </row>
    <row r="55" spans="1:8" s="5" customFormat="1" x14ac:dyDescent="0.3">
      <c r="A55" s="8">
        <v>48</v>
      </c>
      <c r="B55" s="9" t="s">
        <v>50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89182</v>
      </c>
    </row>
    <row r="56" spans="1:8" s="5" customFormat="1" x14ac:dyDescent="0.3">
      <c r="A56" s="8">
        <v>49</v>
      </c>
      <c r="B56" s="9" t="s">
        <v>51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</row>
    <row r="57" spans="1:8" x14ac:dyDescent="0.3">
      <c r="A57" s="10">
        <v>50</v>
      </c>
      <c r="B57" s="11" t="s">
        <v>52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</row>
    <row r="58" spans="1:8" x14ac:dyDescent="0.3">
      <c r="A58" s="10">
        <v>51</v>
      </c>
      <c r="B58" s="11" t="s">
        <v>53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</row>
    <row r="59" spans="1:8" s="5" customFormat="1" x14ac:dyDescent="0.3">
      <c r="A59" s="8">
        <v>52</v>
      </c>
      <c r="B59" s="9" t="s">
        <v>54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2436000</v>
      </c>
    </row>
    <row r="60" spans="1:8" s="5" customFormat="1" x14ac:dyDescent="0.3">
      <c r="A60" s="8">
        <v>53</v>
      </c>
      <c r="B60" s="9" t="s">
        <v>55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</row>
    <row r="61" spans="1:8" s="5" customFormat="1" x14ac:dyDescent="0.3">
      <c r="A61" s="8">
        <v>54</v>
      </c>
      <c r="B61" s="9" t="s">
        <v>56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2436000</v>
      </c>
    </row>
    <row r="62" spans="1:8" s="5" customFormat="1" x14ac:dyDescent="0.3">
      <c r="A62" s="8">
        <v>55</v>
      </c>
      <c r="B62" s="9" t="s">
        <v>57</v>
      </c>
      <c r="C62" s="8">
        <v>-95996034.5</v>
      </c>
      <c r="D62" s="8">
        <v>-3498669.8</v>
      </c>
      <c r="E62" s="8">
        <v>-133106249.5</v>
      </c>
      <c r="F62" s="8">
        <v>577372925</v>
      </c>
      <c r="G62" s="8">
        <v>260709751.80000001</v>
      </c>
      <c r="H62" s="8">
        <v>608006905</v>
      </c>
    </row>
    <row r="63" spans="1:8" s="5" customFormat="1" x14ac:dyDescent="0.3">
      <c r="A63" s="8">
        <v>56</v>
      </c>
      <c r="B63" s="9" t="s">
        <v>58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</row>
    <row r="64" spans="1:8" s="5" customFormat="1" x14ac:dyDescent="0.3">
      <c r="A64" s="8">
        <v>57</v>
      </c>
      <c r="B64" s="9" t="s">
        <v>59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</row>
    <row r="65" spans="1:8" s="5" customFormat="1" x14ac:dyDescent="0.3">
      <c r="A65" s="8">
        <v>58</v>
      </c>
      <c r="B65" s="9" t="s">
        <v>60</v>
      </c>
      <c r="C65" s="8">
        <v>-95996034.5</v>
      </c>
      <c r="D65" s="8">
        <v>-3498669.8</v>
      </c>
      <c r="E65" s="8">
        <v>-133106249.5</v>
      </c>
      <c r="F65" s="8">
        <v>577372925</v>
      </c>
      <c r="G65" s="8">
        <v>260709751.80000001</v>
      </c>
      <c r="H65" s="8">
        <v>608006905</v>
      </c>
    </row>
    <row r="66" spans="1:8" s="5" customFormat="1" x14ac:dyDescent="0.3">
      <c r="A66" s="12">
        <v>59</v>
      </c>
      <c r="B66" s="13" t="s">
        <v>61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</row>
    <row r="67" spans="1:8" ht="24.9" customHeight="1" x14ac:dyDescent="0.3">
      <c r="A67" s="14">
        <f>SUM(A10:A12,A14:A14,A18:A35,A37:A53,A57:A58)</f>
        <v>1117</v>
      </c>
      <c r="B67" s="15"/>
      <c r="C67" s="14">
        <f t="shared" ref="C67:H67" si="0">SUM(C10:C12,C14:C14,C18:C35,C37:C53,C57:C58)</f>
        <v>543480376.64999998</v>
      </c>
      <c r="D67" s="14">
        <f t="shared" si="0"/>
        <v>220237049.48000002</v>
      </c>
      <c r="E67" s="14">
        <f t="shared" si="0"/>
        <v>480494639.64999992</v>
      </c>
      <c r="F67" s="14">
        <f t="shared" si="0"/>
        <v>3061065799.5</v>
      </c>
      <c r="G67" s="14">
        <f t="shared" si="0"/>
        <v>1059149672.72</v>
      </c>
      <c r="H67" s="14">
        <f t="shared" si="0"/>
        <v>5364427538</v>
      </c>
    </row>
  </sheetData>
  <mergeCells count="5">
    <mergeCell ref="A1:H1"/>
    <mergeCell ref="A2:H2"/>
    <mergeCell ref="A4:H4"/>
    <mergeCell ref="A5:H5"/>
    <mergeCell ref="A6:H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Dinh Tien Thanh 202400073</cp:lastModifiedBy>
  <dcterms:created xsi:type="dcterms:W3CDTF">2025-08-19T07:52:22Z</dcterms:created>
  <dcterms:modified xsi:type="dcterms:W3CDTF">2025-10-13T05:09:10Z</dcterms:modified>
</cp:coreProperties>
</file>